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apovaai\Закупки\2026 год\Запчасти для принтера\"/>
    </mc:Choice>
  </mc:AlternateContent>
  <bookViews>
    <workbookView xWindow="0" yWindow="0" windowWidth="28800" windowHeight="11850"/>
  </bookViews>
  <sheets>
    <sheet name="Котировки" sheetId="11" r:id="rId1"/>
  </sheets>
  <definedNames>
    <definedName name="_xlnm.Print_Area" localSheetId="0">Котировки!$B$1:$P$16</definedName>
  </definedNames>
  <calcPr calcId="162913"/>
</workbook>
</file>

<file path=xl/calcChain.xml><?xml version="1.0" encoding="utf-8"?>
<calcChain xmlns="http://schemas.openxmlformats.org/spreadsheetml/2006/main">
  <c r="P13" i="11" l="1"/>
  <c r="I12" i="11"/>
  <c r="H12" i="11"/>
  <c r="G12" i="11"/>
  <c r="P8" i="11" l="1"/>
  <c r="P9" i="11"/>
  <c r="P10" i="11"/>
  <c r="P11" i="11"/>
  <c r="O8" i="11"/>
  <c r="O9" i="11"/>
  <c r="O10" i="11"/>
  <c r="O11" i="11"/>
  <c r="N8" i="11"/>
  <c r="N9" i="11"/>
  <c r="N10" i="11"/>
  <c r="N11" i="11"/>
  <c r="M8" i="11"/>
  <c r="M9" i="11"/>
  <c r="M10" i="11"/>
  <c r="M11" i="11"/>
  <c r="L8" i="11"/>
  <c r="L9" i="11"/>
  <c r="L10" i="11"/>
  <c r="L11" i="11"/>
  <c r="K8" i="11" l="1"/>
  <c r="K9" i="11"/>
  <c r="K10" i="11"/>
  <c r="K11" i="11"/>
  <c r="J8" i="11"/>
  <c r="J9" i="11"/>
  <c r="J10" i="11"/>
  <c r="J11" i="11"/>
  <c r="K7" i="11" l="1"/>
  <c r="J7" i="11" l="1"/>
  <c r="M7" i="11" l="1"/>
  <c r="N7" i="11" s="1"/>
  <c r="O7" i="11" s="1"/>
  <c r="P7" i="11" s="1"/>
  <c r="L7" i="11"/>
</calcChain>
</file>

<file path=xl/sharedStrings.xml><?xml version="1.0" encoding="utf-8"?>
<sst xmlns="http://schemas.openxmlformats.org/spreadsheetml/2006/main" count="38" uniqueCount="30">
  <si>
    <t>№</t>
  </si>
  <si>
    <t>Ед. изм.</t>
  </si>
  <si>
    <t>Кол-во</t>
  </si>
  <si>
    <t>Коммерческие предложения (руб./ед.изм)</t>
  </si>
  <si>
    <t>Среднее квадратичное отклонение</t>
  </si>
  <si>
    <t>коэффициент вариации цен V (%)                    (не должен превышать 33%)</t>
  </si>
  <si>
    <t>Однородность совокупности значений выявленных цен, используемых в расчете Н(М)ЦК, ЦКЕП</t>
  </si>
  <si>
    <t>Н(М)ЦК, ЦКЕП, определяемая методом сопоставимых рыночных цен (анализа рынка)</t>
  </si>
  <si>
    <t>Расчет Н(М)ЦК по формуле                             v - количество (объем)                            закупаемого товара (работы, услуги);            - цена единицы</t>
  </si>
  <si>
    <t>Цена за единицу изм. (руб.)</t>
  </si>
  <si>
    <t>Цена за единицу изм. с округлением (вниз) до сотых долей после запятой (руб.)</t>
  </si>
  <si>
    <t>Н(М)ЦК, ЦКЕП контракта с учетом округления цены за единицу (руб.)</t>
  </si>
  <si>
    <t>Поставщик №1</t>
  </si>
  <si>
    <t>Поставщик №2</t>
  </si>
  <si>
    <t>Поставщик №3</t>
  </si>
  <si>
    <t xml:space="preserve">Средняя арифметическая цена за единицу &lt;ц&gt; </t>
  </si>
  <si>
    <t>Начальная (максимальная) цена Контракта определена заказчиком посредством применения метода сопоставимых рыночных цен (анализа рынка) в соответствии с требованиями ст. 22 44-ФЗ от 05.04.2013 (ред. от 28.12.2013), с учетом методических рекомендаций, утвержденных приказом Минэкономразвития РФ от 02.10.2013 № 567, а именно: - коммерческих предложений потенциальных поставщиков и информация с сети интернет</t>
  </si>
  <si>
    <t>наименование товара</t>
  </si>
  <si>
    <t>Экономическое обоснование начальной (максимальной) цены контракта</t>
  </si>
  <si>
    <t>Составил:</t>
  </si>
  <si>
    <t>шт.</t>
  </si>
  <si>
    <t>/Кузнецов С.И./</t>
  </si>
  <si>
    <t>ОКДП 2</t>
  </si>
  <si>
    <t xml:space="preserve">Приложение № 2
к извещению о проведении запроса котировок в электронном виде
УТВЕРЖДАЮ
Глава администрации
Волосовского муниципального района
____________________ /С.Д. Ушаков
___.___.2026 года
</t>
  </si>
  <si>
    <t>28.99.40.110</t>
  </si>
  <si>
    <t xml:space="preserve">Бункер отработанных чернил </t>
  </si>
  <si>
    <t>Фотобарабан (Тип 1)</t>
  </si>
  <si>
    <t>Фотобарабан (Тип 2)</t>
  </si>
  <si>
    <t xml:space="preserve">Печка </t>
  </si>
  <si>
    <t xml:space="preserve">Емкость для отработанных чернил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</si>
</sst>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00000"/>
    <numFmt numFmtId="166" formatCode="#,##0.000000"/>
  </numFmts>
  <fonts count="9">
    <font>
      <sz val="11"/>
      <color theme="1"/>
      <name val="Calibri"/>
      <family val="2"/>
      <charset val="204"/>
      <scheme val="minor"/>
    </font>
    <font>
      <sz val="7"/>
      <color indexed="8"/>
      <name val="Arial"/>
      <family val="2"/>
      <charset val="204"/>
    </font>
    <font>
      <sz val="11"/>
      <color rgb="FF000000"/>
      <name val="Arial1"/>
      <charset val="204"/>
    </font>
    <font>
      <sz val="8"/>
      <color theme="1"/>
      <name val="Verdana"/>
      <family val="2"/>
      <charset val="204"/>
    </font>
    <font>
      <sz val="8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name val="Verdana"/>
      <family val="2"/>
      <charset val="204"/>
    </font>
    <font>
      <sz val="8"/>
      <color indexed="8"/>
      <name val="Verdana"/>
      <family val="2"/>
      <charset val="204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Border="0" applyProtection="0"/>
    <xf numFmtId="0" fontId="1" fillId="2" borderId="0">
      <alignment horizontal="right" vertical="center"/>
    </xf>
  </cellStyleXfs>
  <cellXfs count="40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4" fontId="4" fillId="0" borderId="0" xfId="0" applyNumberFormat="1" applyFont="1"/>
    <xf numFmtId="165" fontId="4" fillId="0" borderId="0" xfId="0" applyNumberFormat="1" applyFont="1"/>
    <xf numFmtId="4" fontId="4" fillId="0" borderId="1" xfId="0" applyNumberFormat="1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Fill="1"/>
    <xf numFmtId="4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4" fillId="0" borderId="2" xfId="0" applyFont="1" applyFill="1" applyBorder="1"/>
    <xf numFmtId="0" fontId="4" fillId="0" borderId="2" xfId="0" applyFont="1" applyBorder="1" applyAlignment="1"/>
    <xf numFmtId="4" fontId="4" fillId="0" borderId="0" xfId="0" applyNumberFormat="1" applyFont="1" applyAlignment="1"/>
    <xf numFmtId="4" fontId="6" fillId="0" borderId="0" xfId="0" applyNumberFormat="1" applyFont="1"/>
    <xf numFmtId="4" fontId="3" fillId="0" borderId="1" xfId="0" applyNumberFormat="1" applyFont="1" applyFill="1" applyBorder="1" applyAlignment="1">
      <alignment vertical="center" wrapText="1"/>
    </xf>
    <xf numFmtId="4" fontId="4" fillId="0" borderId="1" xfId="0" applyNumberFormat="1" applyFont="1" applyFill="1" applyBorder="1" applyAlignment="1" applyProtection="1">
      <alignment horizontal="right" vertical="center" wrapText="1"/>
      <protection hidden="1"/>
    </xf>
    <xf numFmtId="4" fontId="4" fillId="0" borderId="1" xfId="0" applyNumberFormat="1" applyFont="1" applyFill="1" applyBorder="1" applyAlignment="1">
      <alignment horizontal="right" vertical="center"/>
    </xf>
    <xf numFmtId="4" fontId="4" fillId="0" borderId="1" xfId="0" applyNumberFormat="1" applyFont="1" applyFill="1" applyBorder="1" applyAlignment="1">
      <alignment horizontal="right" vertical="center" wrapText="1"/>
    </xf>
    <xf numFmtId="4" fontId="6" fillId="0" borderId="1" xfId="0" applyNumberFormat="1" applyFont="1" applyFill="1" applyBorder="1" applyAlignment="1">
      <alignment horizontal="right" vertical="center" wrapText="1"/>
    </xf>
    <xf numFmtId="0" fontId="7" fillId="0" borderId="3" xfId="0" applyFont="1" applyFill="1" applyBorder="1" applyAlignment="1">
      <alignment horizontal="right" vertical="center" wrapText="1"/>
    </xf>
    <xf numFmtId="4" fontId="4" fillId="0" borderId="0" xfId="0" applyNumberFormat="1" applyFont="1" applyFill="1"/>
    <xf numFmtId="4" fontId="3" fillId="0" borderId="1" xfId="0" applyNumberFormat="1" applyFont="1" applyFill="1" applyBorder="1" applyAlignment="1">
      <alignment horizontal="right" vertical="center" wrapText="1"/>
    </xf>
    <xf numFmtId="4" fontId="3" fillId="0" borderId="1" xfId="0" applyNumberFormat="1" applyFont="1" applyFill="1" applyBorder="1" applyAlignment="1">
      <alignment horizontal="right" vertical="center"/>
    </xf>
    <xf numFmtId="166" fontId="6" fillId="0" borderId="1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3">
    <cellStyle name="Excel Built-in Normal" xfId="1"/>
    <cellStyle name="S20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34925</xdr:colOff>
      <xdr:row>5</xdr:row>
      <xdr:rowOff>85725</xdr:rowOff>
    </xdr:from>
    <xdr:to>
      <xdr:col>10</xdr:col>
      <xdr:colOff>1177925</xdr:colOff>
      <xdr:row>5</xdr:row>
      <xdr:rowOff>552450</xdr:rowOff>
    </xdr:to>
    <xdr:pic>
      <xdr:nvPicPr>
        <xdr:cNvPr id="1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10800000" flipH="1" flipV="1">
          <a:off x="8416925" y="2742142"/>
          <a:ext cx="1143000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38100</xdr:colOff>
      <xdr:row>5</xdr:row>
      <xdr:rowOff>1247775</xdr:rowOff>
    </xdr:from>
    <xdr:to>
      <xdr:col>11</xdr:col>
      <xdr:colOff>923925</xdr:colOff>
      <xdr:row>5</xdr:row>
      <xdr:rowOff>1657350</xdr:rowOff>
    </xdr:to>
    <xdr:pic>
      <xdr:nvPicPr>
        <xdr:cNvPr id="11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44125" y="3895725"/>
          <a:ext cx="8858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215597</xdr:colOff>
      <xdr:row>5</xdr:row>
      <xdr:rowOff>1260476</xdr:rowOff>
    </xdr:from>
    <xdr:to>
      <xdr:col>12</xdr:col>
      <xdr:colOff>1028347</xdr:colOff>
      <xdr:row>5</xdr:row>
      <xdr:rowOff>1534583</xdr:rowOff>
    </xdr:to>
    <xdr:pic>
      <xdr:nvPicPr>
        <xdr:cNvPr id="1183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0777764" y="3916893"/>
          <a:ext cx="812750" cy="274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twoCellAnchor>
  <xdr:twoCellAnchor>
    <xdr:from>
      <xdr:col>12</xdr:col>
      <xdr:colOff>47625</xdr:colOff>
      <xdr:row>5</xdr:row>
      <xdr:rowOff>1019175</xdr:rowOff>
    </xdr:from>
    <xdr:to>
      <xdr:col>12</xdr:col>
      <xdr:colOff>200025</xdr:colOff>
      <xdr:row>5</xdr:row>
      <xdr:rowOff>1238250</xdr:rowOff>
    </xdr:to>
    <xdr:pic>
      <xdr:nvPicPr>
        <xdr:cNvPr id="1183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125200" y="3667125"/>
          <a:ext cx="1524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8"/>
  <sheetViews>
    <sheetView tabSelected="1" topLeftCell="B1" zoomScale="90" zoomScaleNormal="90" zoomScaleSheetLayoutView="100" workbookViewId="0">
      <selection activeCell="E7" sqref="E7"/>
    </sheetView>
  </sheetViews>
  <sheetFormatPr defaultColWidth="9.140625" defaultRowHeight="10.5"/>
  <cols>
    <col min="1" max="1" width="9.140625" style="1" hidden="1" customWidth="1"/>
    <col min="2" max="2" width="4.42578125" style="1" customWidth="1"/>
    <col min="3" max="3" width="37.28515625" style="2" customWidth="1"/>
    <col min="4" max="4" width="7.140625" style="1" customWidth="1"/>
    <col min="5" max="5" width="14.28515625" style="1" customWidth="1"/>
    <col min="6" max="6" width="9.28515625" style="1" bestFit="1" customWidth="1"/>
    <col min="7" max="7" width="18.5703125" style="3" customWidth="1"/>
    <col min="8" max="9" width="16.42578125" style="3" customWidth="1"/>
    <col min="10" max="10" width="16" style="1" customWidth="1"/>
    <col min="11" max="11" width="18.140625" style="1" customWidth="1"/>
    <col min="12" max="12" width="14.5703125" style="1" customWidth="1"/>
    <col min="13" max="13" width="18.85546875" style="1" customWidth="1"/>
    <col min="14" max="14" width="20.140625" style="3" customWidth="1"/>
    <col min="15" max="15" width="17.85546875" style="4" customWidth="1"/>
    <col min="16" max="16" width="18.28515625" style="1" customWidth="1"/>
    <col min="17" max="16384" width="9.140625" style="1"/>
  </cols>
  <sheetData>
    <row r="1" spans="2:16" ht="90.75" customHeight="1">
      <c r="B1" s="32" t="s">
        <v>23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2:16" ht="29.25" customHeight="1">
      <c r="B2" s="36" t="s">
        <v>18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2:16" ht="48" customHeight="1">
      <c r="B3" s="34" t="s">
        <v>16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2:16" ht="33.75" customHeight="1"/>
    <row r="5" spans="2:16" ht="47.25" customHeight="1">
      <c r="B5" s="35" t="s">
        <v>0</v>
      </c>
      <c r="C5" s="35" t="s">
        <v>17</v>
      </c>
      <c r="D5" s="35" t="s">
        <v>1</v>
      </c>
      <c r="E5" s="38" t="s">
        <v>22</v>
      </c>
      <c r="F5" s="35" t="s">
        <v>2</v>
      </c>
      <c r="G5" s="35" t="s">
        <v>3</v>
      </c>
      <c r="H5" s="35"/>
      <c r="I5" s="35"/>
      <c r="J5" s="35" t="s">
        <v>6</v>
      </c>
      <c r="K5" s="35"/>
      <c r="L5" s="35"/>
      <c r="M5" s="35" t="s">
        <v>7</v>
      </c>
      <c r="N5" s="35"/>
      <c r="O5" s="35"/>
      <c r="P5" s="35"/>
    </row>
    <row r="6" spans="2:16" ht="131.25" customHeight="1">
      <c r="B6" s="35"/>
      <c r="C6" s="35"/>
      <c r="D6" s="35"/>
      <c r="E6" s="39"/>
      <c r="F6" s="35"/>
      <c r="G6" s="5" t="s">
        <v>12</v>
      </c>
      <c r="H6" s="5" t="s">
        <v>13</v>
      </c>
      <c r="I6" s="5" t="s">
        <v>14</v>
      </c>
      <c r="J6" s="6" t="s">
        <v>15</v>
      </c>
      <c r="K6" s="7" t="s">
        <v>4</v>
      </c>
      <c r="L6" s="8" t="s">
        <v>5</v>
      </c>
      <c r="M6" s="8" t="s">
        <v>8</v>
      </c>
      <c r="N6" s="9" t="s">
        <v>9</v>
      </c>
      <c r="O6" s="10" t="s">
        <v>10</v>
      </c>
      <c r="P6" s="6" t="s">
        <v>11</v>
      </c>
    </row>
    <row r="7" spans="2:16" s="11" customFormat="1" ht="15">
      <c r="B7" s="28">
        <v>1</v>
      </c>
      <c r="C7" s="30" t="s">
        <v>25</v>
      </c>
      <c r="D7" s="29" t="s">
        <v>20</v>
      </c>
      <c r="E7" s="23" t="s">
        <v>24</v>
      </c>
      <c r="F7" s="18">
        <v>3</v>
      </c>
      <c r="G7" s="25">
        <v>2415</v>
      </c>
      <c r="H7" s="25">
        <v>2332</v>
      </c>
      <c r="I7" s="26">
        <v>1714</v>
      </c>
      <c r="J7" s="19">
        <f t="shared" ref="J7:J11" si="0">AVERAGE(G7:I7)</f>
        <v>2153.6666666666665</v>
      </c>
      <c r="K7" s="20">
        <f>SQRT(VAR(G7:I7))</f>
        <v>383.0174060448598</v>
      </c>
      <c r="L7" s="20">
        <f t="shared" ref="L7:L11" si="1">K7/J7*100</f>
        <v>17.784433031025841</v>
      </c>
      <c r="M7" s="21">
        <f t="shared" ref="M7:M11" si="2">F7*SUM(G7:I7)/COLUMNS(G7:I7)</f>
        <v>6461</v>
      </c>
      <c r="N7" s="21">
        <f t="shared" ref="N7:N11" si="3">M7/F7</f>
        <v>2153.6666666666665</v>
      </c>
      <c r="O7" s="27">
        <f t="shared" ref="O7:O11" si="4">ROUND(N7,2)</f>
        <v>2153.67</v>
      </c>
      <c r="P7" s="22">
        <f t="shared" ref="P7:P11" si="5">O7*F7</f>
        <v>6461.01</v>
      </c>
    </row>
    <row r="8" spans="2:16" s="11" customFormat="1" ht="15.75" customHeight="1">
      <c r="B8" s="28">
        <v>2</v>
      </c>
      <c r="C8" s="30" t="s">
        <v>26</v>
      </c>
      <c r="D8" s="29" t="s">
        <v>20</v>
      </c>
      <c r="E8" s="23" t="s">
        <v>24</v>
      </c>
      <c r="F8" s="18">
        <v>14</v>
      </c>
      <c r="G8" s="25">
        <v>6750</v>
      </c>
      <c r="H8" s="25">
        <v>7674</v>
      </c>
      <c r="I8" s="26">
        <v>5970</v>
      </c>
      <c r="J8" s="19">
        <f t="shared" si="0"/>
        <v>6798</v>
      </c>
      <c r="K8" s="20">
        <f t="shared" ref="K8:K11" si="6">SQRT(VAR(G8:I8))</f>
        <v>853.01348172229962</v>
      </c>
      <c r="L8" s="20">
        <f t="shared" si="1"/>
        <v>12.548006497827297</v>
      </c>
      <c r="M8" s="21">
        <f t="shared" si="2"/>
        <v>95172</v>
      </c>
      <c r="N8" s="21">
        <f t="shared" si="3"/>
        <v>6798</v>
      </c>
      <c r="O8" s="27">
        <f t="shared" si="4"/>
        <v>6798</v>
      </c>
      <c r="P8" s="22">
        <f t="shared" si="5"/>
        <v>95172</v>
      </c>
    </row>
    <row r="9" spans="2:16" s="11" customFormat="1" ht="17.25" customHeight="1">
      <c r="B9" s="28">
        <v>3</v>
      </c>
      <c r="C9" s="30" t="s">
        <v>27</v>
      </c>
      <c r="D9" s="29" t="s">
        <v>20</v>
      </c>
      <c r="E9" s="23" t="s">
        <v>24</v>
      </c>
      <c r="F9" s="18">
        <v>11</v>
      </c>
      <c r="G9" s="25">
        <v>14969</v>
      </c>
      <c r="H9" s="25">
        <v>19781</v>
      </c>
      <c r="I9" s="26">
        <v>15620</v>
      </c>
      <c r="J9" s="19">
        <f t="shared" si="0"/>
        <v>16790</v>
      </c>
      <c r="K9" s="20">
        <f t="shared" si="6"/>
        <v>2610.6533664965941</v>
      </c>
      <c r="L9" s="20">
        <f t="shared" si="1"/>
        <v>15.548858645006517</v>
      </c>
      <c r="M9" s="21">
        <f t="shared" si="2"/>
        <v>184690</v>
      </c>
      <c r="N9" s="21">
        <f t="shared" si="3"/>
        <v>16790</v>
      </c>
      <c r="O9" s="27">
        <f t="shared" si="4"/>
        <v>16790</v>
      </c>
      <c r="P9" s="22">
        <f t="shared" si="5"/>
        <v>184690</v>
      </c>
    </row>
    <row r="10" spans="2:16" s="11" customFormat="1" ht="15">
      <c r="B10" s="28">
        <v>4</v>
      </c>
      <c r="C10" s="30" t="s">
        <v>28</v>
      </c>
      <c r="D10" s="29" t="s">
        <v>20</v>
      </c>
      <c r="E10" s="23" t="s">
        <v>24</v>
      </c>
      <c r="F10" s="18">
        <v>9</v>
      </c>
      <c r="G10" s="25">
        <v>23515</v>
      </c>
      <c r="H10" s="25">
        <v>23989</v>
      </c>
      <c r="I10" s="26">
        <v>20480</v>
      </c>
      <c r="J10" s="19">
        <f t="shared" si="0"/>
        <v>22661.333333333332</v>
      </c>
      <c r="K10" s="20">
        <f t="shared" si="6"/>
        <v>1903.8987192950503</v>
      </c>
      <c r="L10" s="20">
        <f t="shared" si="1"/>
        <v>8.4015300039496807</v>
      </c>
      <c r="M10" s="21">
        <f t="shared" si="2"/>
        <v>203952</v>
      </c>
      <c r="N10" s="21">
        <f t="shared" si="3"/>
        <v>22661.333333333332</v>
      </c>
      <c r="O10" s="27">
        <f t="shared" si="4"/>
        <v>22661.33</v>
      </c>
      <c r="P10" s="22">
        <f t="shared" si="5"/>
        <v>203951.97000000003</v>
      </c>
    </row>
    <row r="11" spans="2:16" s="11" customFormat="1" ht="15">
      <c r="B11" s="28">
        <v>5</v>
      </c>
      <c r="C11" s="30" t="s">
        <v>29</v>
      </c>
      <c r="D11" s="29" t="s">
        <v>20</v>
      </c>
      <c r="E11" s="23" t="s">
        <v>24</v>
      </c>
      <c r="F11" s="18">
        <v>1</v>
      </c>
      <c r="G11" s="25">
        <v>3430</v>
      </c>
      <c r="H11" s="25">
        <v>3359</v>
      </c>
      <c r="I11" s="26">
        <v>1160</v>
      </c>
      <c r="J11" s="19">
        <f t="shared" si="0"/>
        <v>2649.6666666666665</v>
      </c>
      <c r="K11" s="20">
        <f t="shared" si="6"/>
        <v>1290.5775193041811</v>
      </c>
      <c r="L11" s="20">
        <f t="shared" si="1"/>
        <v>48.707165151749194</v>
      </c>
      <c r="M11" s="21">
        <f t="shared" si="2"/>
        <v>2649.6666666666665</v>
      </c>
      <c r="N11" s="21">
        <f t="shared" si="3"/>
        <v>2649.6666666666665</v>
      </c>
      <c r="O11" s="27">
        <f t="shared" si="4"/>
        <v>2649.67</v>
      </c>
      <c r="P11" s="22">
        <f t="shared" si="5"/>
        <v>2649.67</v>
      </c>
    </row>
    <row r="12" spans="2:16" s="11" customFormat="1">
      <c r="G12" s="24">
        <f>$F7*G7+$F10*G10+$F11*G11+G8*F8+G9*F9</f>
        <v>481469</v>
      </c>
      <c r="H12" s="24">
        <f>$F7*H7+$F10*H10+$F11*H11+H8*F8+H9*F9</f>
        <v>551283</v>
      </c>
      <c r="I12" s="24">
        <f>$F7*I7+$F10*I10+$F11*I11+I8*F8+I9*F9</f>
        <v>446022</v>
      </c>
    </row>
    <row r="13" spans="2:16" s="11" customFormat="1" ht="29.25" customHeight="1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12">
        <f>SUM(P7:P11)</f>
        <v>492924.65</v>
      </c>
    </row>
    <row r="14" spans="2:16" s="11" customFormat="1" ht="17.25" customHeight="1">
      <c r="B14" s="1"/>
      <c r="C14" s="2"/>
      <c r="D14" s="1"/>
      <c r="E14" s="1"/>
      <c r="F14" s="1"/>
      <c r="G14" s="3"/>
      <c r="H14" s="3"/>
      <c r="I14" s="3"/>
      <c r="J14" s="1"/>
      <c r="K14" s="1"/>
      <c r="L14" s="1"/>
      <c r="M14" s="1"/>
      <c r="N14" s="3"/>
      <c r="O14" s="4"/>
      <c r="P14" s="1"/>
    </row>
    <row r="15" spans="2:16" s="11" customFormat="1" ht="32.25" customHeight="1">
      <c r="B15" s="13"/>
      <c r="C15" s="2" t="s">
        <v>19</v>
      </c>
      <c r="D15" s="14"/>
      <c r="E15" s="14"/>
      <c r="F15" s="15"/>
      <c r="G15" s="13" t="s">
        <v>21</v>
      </c>
      <c r="H15" s="16"/>
      <c r="I15" s="16"/>
      <c r="J15" s="1"/>
      <c r="K15" s="1"/>
      <c r="L15" s="17"/>
      <c r="M15" s="1"/>
      <c r="N15" s="3"/>
      <c r="O15" s="4"/>
      <c r="P15" s="1"/>
    </row>
    <row r="16" spans="2:16" s="11" customFormat="1" ht="33.75" customHeight="1">
      <c r="B16" s="13"/>
      <c r="C16" s="2"/>
      <c r="D16" s="31"/>
      <c r="E16" s="31"/>
      <c r="F16" s="31"/>
      <c r="G16" s="31"/>
      <c r="H16" s="31"/>
      <c r="I16" s="31"/>
      <c r="J16" s="1"/>
      <c r="K16" s="1"/>
      <c r="L16" s="1"/>
      <c r="M16" s="1"/>
      <c r="N16" s="3"/>
      <c r="O16" s="4"/>
      <c r="P16" s="1"/>
    </row>
    <row r="17" spans="2:16" s="11" customFormat="1" ht="28.5" customHeight="1">
      <c r="B17" s="1"/>
      <c r="C17" s="2"/>
      <c r="D17" s="1"/>
      <c r="E17" s="1"/>
      <c r="F17" s="1"/>
      <c r="G17" s="3"/>
      <c r="H17" s="3"/>
      <c r="I17" s="3"/>
      <c r="J17" s="1"/>
      <c r="K17" s="1"/>
      <c r="L17" s="1"/>
      <c r="M17" s="1"/>
      <c r="N17" s="3"/>
      <c r="O17" s="4"/>
      <c r="P17" s="1"/>
    </row>
    <row r="18" spans="2:16" s="11" customFormat="1" ht="73.5" customHeight="1">
      <c r="B18" s="1"/>
      <c r="C18" s="2"/>
      <c r="D18" s="1"/>
      <c r="E18" s="1"/>
      <c r="F18" s="1"/>
      <c r="G18" s="3"/>
      <c r="H18" s="3"/>
      <c r="I18" s="3"/>
      <c r="J18" s="1"/>
      <c r="K18" s="1"/>
      <c r="L18" s="1"/>
      <c r="M18" s="1"/>
      <c r="N18" s="3"/>
      <c r="O18" s="4"/>
      <c r="P18" s="1"/>
    </row>
    <row r="19" spans="2:16" s="11" customFormat="1" ht="73.5" customHeight="1">
      <c r="B19" s="1"/>
      <c r="C19" s="2"/>
      <c r="D19" s="1"/>
      <c r="E19" s="1"/>
      <c r="F19" s="1"/>
      <c r="G19" s="3"/>
      <c r="H19" s="3"/>
      <c r="I19" s="3"/>
      <c r="J19" s="1"/>
      <c r="K19" s="1"/>
      <c r="L19" s="1"/>
      <c r="M19" s="1"/>
      <c r="N19" s="3"/>
      <c r="O19" s="4"/>
      <c r="P19" s="1"/>
    </row>
    <row r="20" spans="2:16" s="11" customFormat="1" ht="73.5" customHeight="1">
      <c r="B20" s="1"/>
      <c r="C20" s="2"/>
      <c r="D20" s="1"/>
      <c r="E20" s="1"/>
      <c r="F20" s="1"/>
      <c r="G20" s="3"/>
      <c r="H20" s="3"/>
      <c r="I20" s="3"/>
      <c r="J20" s="1"/>
      <c r="K20" s="1"/>
      <c r="L20" s="1"/>
      <c r="M20" s="1"/>
      <c r="N20" s="3"/>
      <c r="O20" s="4"/>
      <c r="P20" s="1"/>
    </row>
    <row r="21" spans="2:16" s="11" customFormat="1" ht="73.5" customHeight="1">
      <c r="B21" s="1"/>
      <c r="C21" s="2"/>
      <c r="D21" s="1"/>
      <c r="E21" s="1"/>
      <c r="F21" s="1"/>
      <c r="G21" s="3"/>
      <c r="H21" s="3"/>
      <c r="I21" s="3"/>
      <c r="J21" s="1"/>
      <c r="K21" s="1"/>
      <c r="L21" s="1"/>
      <c r="M21" s="1"/>
      <c r="N21" s="3"/>
      <c r="O21" s="4"/>
      <c r="P21" s="1"/>
    </row>
    <row r="22" spans="2:16" s="11" customFormat="1" ht="73.5" customHeight="1">
      <c r="B22" s="1"/>
      <c r="C22" s="2"/>
      <c r="D22" s="1"/>
      <c r="E22" s="1"/>
      <c r="F22" s="1"/>
      <c r="G22" s="3"/>
      <c r="H22" s="3"/>
      <c r="I22" s="3"/>
      <c r="J22" s="1"/>
      <c r="K22" s="1"/>
      <c r="L22" s="1"/>
      <c r="M22" s="1"/>
      <c r="N22" s="3"/>
      <c r="O22" s="4"/>
      <c r="P22" s="1"/>
    </row>
    <row r="23" spans="2:16" s="11" customFormat="1" ht="73.5" customHeight="1">
      <c r="B23" s="1"/>
      <c r="C23" s="2"/>
      <c r="D23" s="1"/>
      <c r="E23" s="1"/>
      <c r="F23" s="1"/>
      <c r="G23" s="3"/>
      <c r="H23" s="3"/>
      <c r="I23" s="3"/>
      <c r="J23" s="1"/>
      <c r="K23" s="1"/>
      <c r="L23" s="1"/>
      <c r="M23" s="1"/>
      <c r="N23" s="3"/>
      <c r="O23" s="4"/>
      <c r="P23" s="1"/>
    </row>
    <row r="24" spans="2:16" s="11" customFormat="1" ht="73.5" customHeight="1">
      <c r="B24" s="1"/>
      <c r="C24" s="2"/>
      <c r="D24" s="1"/>
      <c r="E24" s="1"/>
      <c r="F24" s="1"/>
      <c r="G24" s="3"/>
      <c r="H24" s="3"/>
      <c r="I24" s="3"/>
      <c r="J24" s="1"/>
      <c r="K24" s="1"/>
      <c r="L24" s="1"/>
      <c r="M24" s="1"/>
      <c r="N24" s="3"/>
      <c r="O24" s="4"/>
      <c r="P24" s="1"/>
    </row>
    <row r="25" spans="2:16" s="11" customFormat="1" ht="73.5" customHeight="1">
      <c r="B25" s="1"/>
      <c r="C25" s="2"/>
      <c r="D25" s="1"/>
      <c r="E25" s="1"/>
      <c r="F25" s="1"/>
      <c r="G25" s="3"/>
      <c r="H25" s="3"/>
      <c r="I25" s="3"/>
      <c r="J25" s="1"/>
      <c r="K25" s="1"/>
      <c r="L25" s="1"/>
      <c r="M25" s="1"/>
      <c r="N25" s="3"/>
      <c r="O25" s="4"/>
      <c r="P25" s="1"/>
    </row>
    <row r="26" spans="2:16" s="11" customFormat="1" ht="73.5" customHeight="1">
      <c r="B26" s="1"/>
      <c r="C26" s="2"/>
      <c r="D26" s="1"/>
      <c r="E26" s="1"/>
      <c r="F26" s="1"/>
      <c r="G26" s="3"/>
      <c r="H26" s="3"/>
      <c r="I26" s="3"/>
      <c r="J26" s="1"/>
      <c r="K26" s="1"/>
      <c r="L26" s="1"/>
      <c r="M26" s="1"/>
      <c r="N26" s="3"/>
      <c r="O26" s="4"/>
      <c r="P26" s="1"/>
    </row>
    <row r="27" spans="2:16" s="11" customFormat="1" ht="73.5" customHeight="1">
      <c r="B27" s="1"/>
      <c r="C27" s="2"/>
      <c r="D27" s="1"/>
      <c r="E27" s="1"/>
      <c r="F27" s="1"/>
      <c r="G27" s="3"/>
      <c r="H27" s="3"/>
      <c r="I27" s="3"/>
      <c r="J27" s="1"/>
      <c r="K27" s="1"/>
      <c r="L27" s="1"/>
      <c r="M27" s="1"/>
      <c r="N27" s="3"/>
      <c r="O27" s="4"/>
      <c r="P27" s="1"/>
    </row>
    <row r="28" spans="2:16" s="11" customFormat="1" ht="73.5" customHeight="1">
      <c r="B28" s="1"/>
      <c r="C28" s="2"/>
      <c r="D28" s="1"/>
      <c r="E28" s="1"/>
      <c r="F28" s="1"/>
      <c r="G28" s="3"/>
      <c r="H28" s="3"/>
      <c r="I28" s="3"/>
      <c r="J28" s="1"/>
      <c r="K28" s="1"/>
      <c r="L28" s="1"/>
      <c r="M28" s="1"/>
      <c r="N28" s="3"/>
      <c r="O28" s="4"/>
      <c r="P28" s="1"/>
    </row>
    <row r="29" spans="2:16" s="11" customFormat="1" ht="73.5" customHeight="1">
      <c r="B29" s="1"/>
      <c r="C29" s="2"/>
      <c r="D29" s="1"/>
      <c r="E29" s="1"/>
      <c r="F29" s="1"/>
      <c r="G29" s="3"/>
      <c r="H29" s="3"/>
      <c r="I29" s="3"/>
      <c r="J29" s="1"/>
      <c r="K29" s="1"/>
      <c r="L29" s="1"/>
      <c r="M29" s="1"/>
      <c r="N29" s="3"/>
      <c r="O29" s="4"/>
      <c r="P29" s="1"/>
    </row>
    <row r="30" spans="2:16" s="11" customFormat="1" ht="73.5" customHeight="1">
      <c r="B30" s="1"/>
      <c r="C30" s="2"/>
      <c r="D30" s="1"/>
      <c r="E30" s="1"/>
      <c r="F30" s="1"/>
      <c r="G30" s="3"/>
      <c r="H30" s="3"/>
      <c r="I30" s="3"/>
      <c r="J30" s="1"/>
      <c r="K30" s="1"/>
      <c r="L30" s="1"/>
      <c r="M30" s="1"/>
      <c r="N30" s="3"/>
      <c r="O30" s="4"/>
      <c r="P30" s="1"/>
    </row>
    <row r="31" spans="2:16" s="11" customFormat="1" ht="73.5" customHeight="1">
      <c r="B31" s="1"/>
      <c r="C31" s="2"/>
      <c r="D31" s="1"/>
      <c r="E31" s="1"/>
      <c r="F31" s="1"/>
      <c r="G31" s="3"/>
      <c r="H31" s="3"/>
      <c r="I31" s="3"/>
      <c r="J31" s="1"/>
      <c r="K31" s="1"/>
      <c r="L31" s="1"/>
      <c r="M31" s="1"/>
      <c r="N31" s="3"/>
      <c r="O31" s="4"/>
      <c r="P31" s="1"/>
    </row>
    <row r="32" spans="2:16" s="11" customFormat="1" ht="73.5" customHeight="1">
      <c r="B32" s="1"/>
      <c r="C32" s="2"/>
      <c r="D32" s="1"/>
      <c r="E32" s="1"/>
      <c r="F32" s="1"/>
      <c r="G32" s="3"/>
      <c r="H32" s="3"/>
      <c r="I32" s="3"/>
      <c r="J32" s="1"/>
      <c r="K32" s="1"/>
      <c r="L32" s="1"/>
      <c r="M32" s="1"/>
      <c r="N32" s="3"/>
      <c r="O32" s="4"/>
      <c r="P32" s="1"/>
    </row>
    <row r="33" spans="2:16" s="11" customFormat="1" ht="73.5" customHeight="1">
      <c r="B33" s="1"/>
      <c r="C33" s="2"/>
      <c r="D33" s="1"/>
      <c r="E33" s="1"/>
      <c r="F33" s="1"/>
      <c r="G33" s="3"/>
      <c r="H33" s="3"/>
      <c r="I33" s="3"/>
      <c r="J33" s="1"/>
      <c r="K33" s="1"/>
      <c r="L33" s="1"/>
      <c r="M33" s="1"/>
      <c r="N33" s="3"/>
      <c r="O33" s="4"/>
      <c r="P33" s="1"/>
    </row>
    <row r="34" spans="2:16" s="11" customFormat="1" ht="73.5" customHeight="1">
      <c r="B34" s="1"/>
      <c r="C34" s="2"/>
      <c r="D34" s="1"/>
      <c r="E34" s="1"/>
      <c r="F34" s="1"/>
      <c r="G34" s="3"/>
      <c r="H34" s="3"/>
      <c r="I34" s="3"/>
      <c r="J34" s="1"/>
      <c r="K34" s="1"/>
      <c r="L34" s="1"/>
      <c r="M34" s="1"/>
      <c r="N34" s="3"/>
      <c r="O34" s="4"/>
      <c r="P34" s="1"/>
    </row>
    <row r="35" spans="2:16" s="11" customFormat="1" ht="73.5" customHeight="1">
      <c r="B35" s="1"/>
      <c r="C35" s="2"/>
      <c r="D35" s="1"/>
      <c r="E35" s="1"/>
      <c r="F35" s="1"/>
      <c r="G35" s="3"/>
      <c r="H35" s="3"/>
      <c r="I35" s="3"/>
      <c r="J35" s="1"/>
      <c r="K35" s="1"/>
      <c r="L35" s="1"/>
      <c r="M35" s="1"/>
      <c r="N35" s="3"/>
      <c r="O35" s="4"/>
      <c r="P35" s="1"/>
    </row>
    <row r="36" spans="2:16" s="11" customFormat="1" ht="73.5" customHeight="1">
      <c r="B36" s="1"/>
      <c r="C36" s="2"/>
      <c r="D36" s="1"/>
      <c r="E36" s="1"/>
      <c r="F36" s="1"/>
      <c r="G36" s="3"/>
      <c r="H36" s="3"/>
      <c r="I36" s="3"/>
      <c r="J36" s="1"/>
      <c r="K36" s="1"/>
      <c r="L36" s="1"/>
      <c r="M36" s="1"/>
      <c r="N36" s="3"/>
      <c r="O36" s="4"/>
      <c r="P36" s="1"/>
    </row>
    <row r="37" spans="2:16" s="11" customFormat="1" ht="73.5" customHeight="1">
      <c r="B37" s="1"/>
      <c r="C37" s="2"/>
      <c r="D37" s="1"/>
      <c r="E37" s="1"/>
      <c r="F37" s="1"/>
      <c r="G37" s="3"/>
      <c r="H37" s="3"/>
      <c r="I37" s="3"/>
      <c r="J37" s="1"/>
      <c r="K37" s="1"/>
      <c r="L37" s="1"/>
      <c r="M37" s="1"/>
      <c r="N37" s="3"/>
      <c r="O37" s="4"/>
      <c r="P37" s="1"/>
    </row>
    <row r="38" spans="2:16" s="11" customFormat="1" ht="73.5" customHeight="1">
      <c r="B38" s="1"/>
      <c r="C38" s="2"/>
      <c r="D38" s="1"/>
      <c r="E38" s="1"/>
      <c r="F38" s="1"/>
      <c r="G38" s="3"/>
      <c r="H38" s="3"/>
      <c r="I38" s="3"/>
      <c r="J38" s="1"/>
      <c r="K38" s="1"/>
      <c r="L38" s="1"/>
      <c r="M38" s="1"/>
      <c r="N38" s="3"/>
      <c r="O38" s="4"/>
      <c r="P38" s="1"/>
    </row>
    <row r="39" spans="2:16" s="11" customFormat="1" ht="73.5" customHeight="1">
      <c r="B39" s="1"/>
      <c r="C39" s="2"/>
      <c r="D39" s="1"/>
      <c r="E39" s="1"/>
      <c r="F39" s="1"/>
      <c r="G39" s="3"/>
      <c r="H39" s="3"/>
      <c r="I39" s="3"/>
      <c r="J39" s="1"/>
      <c r="K39" s="1"/>
      <c r="L39" s="1"/>
      <c r="M39" s="1"/>
      <c r="N39" s="3"/>
      <c r="O39" s="4"/>
      <c r="P39" s="1"/>
    </row>
    <row r="40" spans="2:16" s="11" customFormat="1" ht="73.5" customHeight="1">
      <c r="B40" s="1"/>
      <c r="C40" s="2"/>
      <c r="D40" s="1"/>
      <c r="E40" s="1"/>
      <c r="F40" s="1"/>
      <c r="G40" s="3"/>
      <c r="H40" s="3"/>
      <c r="I40" s="3"/>
      <c r="J40" s="1"/>
      <c r="K40" s="1"/>
      <c r="L40" s="1"/>
      <c r="M40" s="1"/>
      <c r="N40" s="3"/>
      <c r="O40" s="4"/>
      <c r="P40" s="1"/>
    </row>
    <row r="41" spans="2:16" s="11" customFormat="1" ht="73.5" customHeight="1">
      <c r="B41" s="1"/>
      <c r="C41" s="2"/>
      <c r="D41" s="1"/>
      <c r="E41" s="1"/>
      <c r="F41" s="1"/>
      <c r="G41" s="3"/>
      <c r="H41" s="3"/>
      <c r="I41" s="3"/>
      <c r="J41" s="1"/>
      <c r="K41" s="1"/>
      <c r="L41" s="1"/>
      <c r="M41" s="1"/>
      <c r="N41" s="3"/>
      <c r="O41" s="4"/>
      <c r="P41" s="1"/>
    </row>
    <row r="42" spans="2:16" s="11" customFormat="1" ht="73.5" customHeight="1">
      <c r="B42" s="1"/>
      <c r="C42" s="2"/>
      <c r="D42" s="1"/>
      <c r="E42" s="1"/>
      <c r="F42" s="1"/>
      <c r="G42" s="3"/>
      <c r="H42" s="3"/>
      <c r="I42" s="3"/>
      <c r="J42" s="1"/>
      <c r="K42" s="1"/>
      <c r="L42" s="1"/>
      <c r="M42" s="1"/>
      <c r="N42" s="3"/>
      <c r="O42" s="4"/>
      <c r="P42" s="1"/>
    </row>
    <row r="43" spans="2:16" s="11" customFormat="1" ht="73.5" customHeight="1">
      <c r="B43" s="1"/>
      <c r="C43" s="2"/>
      <c r="D43" s="1"/>
      <c r="E43" s="1"/>
      <c r="F43" s="1"/>
      <c r="G43" s="3"/>
      <c r="H43" s="3"/>
      <c r="I43" s="3"/>
      <c r="J43" s="1"/>
      <c r="K43" s="1"/>
      <c r="L43" s="1"/>
      <c r="M43" s="1"/>
      <c r="N43" s="3"/>
      <c r="O43" s="4"/>
      <c r="P43" s="1"/>
    </row>
    <row r="44" spans="2:16" s="11" customFormat="1" ht="73.5" customHeight="1">
      <c r="B44" s="1"/>
      <c r="C44" s="2"/>
      <c r="D44" s="1"/>
      <c r="E44" s="1"/>
      <c r="F44" s="1"/>
      <c r="G44" s="3"/>
      <c r="H44" s="3"/>
      <c r="I44" s="3"/>
      <c r="J44" s="1"/>
      <c r="K44" s="1"/>
      <c r="L44" s="1"/>
      <c r="M44" s="1"/>
      <c r="N44" s="3"/>
      <c r="O44" s="4"/>
      <c r="P44" s="1"/>
    </row>
    <row r="45" spans="2:16" s="11" customFormat="1" ht="73.5" customHeight="1">
      <c r="B45" s="1"/>
      <c r="C45" s="2"/>
      <c r="D45" s="1"/>
      <c r="E45" s="1"/>
      <c r="F45" s="1"/>
      <c r="G45" s="3"/>
      <c r="H45" s="3"/>
      <c r="I45" s="3"/>
      <c r="J45" s="1"/>
      <c r="K45" s="1"/>
      <c r="L45" s="1"/>
      <c r="M45" s="1"/>
      <c r="N45" s="3"/>
      <c r="O45" s="4"/>
      <c r="P45" s="1"/>
    </row>
    <row r="46" spans="2:16" s="11" customFormat="1" ht="73.5" customHeight="1">
      <c r="B46" s="1"/>
      <c r="C46" s="2"/>
      <c r="D46" s="1"/>
      <c r="E46" s="1"/>
      <c r="F46" s="1"/>
      <c r="G46" s="3"/>
      <c r="H46" s="3"/>
      <c r="I46" s="3"/>
      <c r="J46" s="1"/>
      <c r="K46" s="1"/>
      <c r="L46" s="1"/>
      <c r="M46" s="1"/>
      <c r="N46" s="3"/>
      <c r="O46" s="4"/>
      <c r="P46" s="1"/>
    </row>
    <row r="47" spans="2:16" s="11" customFormat="1" ht="98.25" customHeight="1">
      <c r="B47" s="1"/>
      <c r="C47" s="2"/>
      <c r="D47" s="1"/>
      <c r="E47" s="1"/>
      <c r="F47" s="1"/>
      <c r="G47" s="3"/>
      <c r="H47" s="3"/>
      <c r="I47" s="3"/>
      <c r="J47" s="1"/>
      <c r="K47" s="1"/>
      <c r="L47" s="1"/>
      <c r="M47" s="1"/>
      <c r="N47" s="3"/>
      <c r="O47" s="4"/>
      <c r="P47" s="1"/>
    </row>
    <row r="48" spans="2:16" s="11" customFormat="1" ht="73.5" customHeight="1">
      <c r="B48" s="1"/>
      <c r="C48" s="2"/>
      <c r="D48" s="1"/>
      <c r="E48" s="1"/>
      <c r="F48" s="1"/>
      <c r="G48" s="3"/>
      <c r="H48" s="3"/>
      <c r="I48" s="3"/>
      <c r="J48" s="1"/>
      <c r="K48" s="1"/>
      <c r="L48" s="1"/>
      <c r="M48" s="1"/>
      <c r="N48" s="3"/>
      <c r="O48" s="4"/>
      <c r="P48" s="1"/>
    </row>
    <row r="49" spans="2:16" s="11" customFormat="1" ht="73.5" customHeight="1">
      <c r="B49" s="1"/>
      <c r="C49" s="2"/>
      <c r="D49" s="1"/>
      <c r="E49" s="1"/>
      <c r="F49" s="1"/>
      <c r="G49" s="3"/>
      <c r="H49" s="3"/>
      <c r="I49" s="3"/>
      <c r="J49" s="1"/>
      <c r="K49" s="1"/>
      <c r="L49" s="1"/>
      <c r="M49" s="1"/>
      <c r="N49" s="3"/>
      <c r="O49" s="4"/>
      <c r="P49" s="1"/>
    </row>
    <row r="50" spans="2:16" s="11" customFormat="1" ht="73.5" customHeight="1">
      <c r="B50" s="1"/>
      <c r="C50" s="2"/>
      <c r="D50" s="1"/>
      <c r="E50" s="1"/>
      <c r="F50" s="1"/>
      <c r="G50" s="3"/>
      <c r="H50" s="3"/>
      <c r="I50" s="3"/>
      <c r="J50" s="1"/>
      <c r="K50" s="1"/>
      <c r="L50" s="1"/>
      <c r="M50" s="1"/>
      <c r="N50" s="3"/>
      <c r="O50" s="4"/>
      <c r="P50" s="1"/>
    </row>
    <row r="51" spans="2:16" s="11" customFormat="1" ht="73.5" customHeight="1">
      <c r="B51" s="1"/>
      <c r="C51" s="2"/>
      <c r="D51" s="1"/>
      <c r="E51" s="1"/>
      <c r="F51" s="1"/>
      <c r="G51" s="3"/>
      <c r="H51" s="3"/>
      <c r="I51" s="3"/>
      <c r="J51" s="1"/>
      <c r="K51" s="1"/>
      <c r="L51" s="1"/>
      <c r="M51" s="1"/>
      <c r="N51" s="3"/>
      <c r="O51" s="4"/>
      <c r="P51" s="1"/>
    </row>
    <row r="52" spans="2:16" s="11" customFormat="1" ht="73.5" customHeight="1">
      <c r="B52" s="1"/>
      <c r="C52" s="2"/>
      <c r="D52" s="1"/>
      <c r="E52" s="1"/>
      <c r="F52" s="1"/>
      <c r="G52" s="3"/>
      <c r="H52" s="3"/>
      <c r="I52" s="3"/>
      <c r="J52" s="1"/>
      <c r="K52" s="1"/>
      <c r="L52" s="1"/>
      <c r="M52" s="1"/>
      <c r="N52" s="3"/>
      <c r="O52" s="4"/>
      <c r="P52" s="1"/>
    </row>
    <row r="53" spans="2:16" s="11" customFormat="1" ht="73.5" customHeight="1">
      <c r="B53" s="1"/>
      <c r="C53" s="2"/>
      <c r="D53" s="1"/>
      <c r="E53" s="1"/>
      <c r="F53" s="1"/>
      <c r="G53" s="3"/>
      <c r="H53" s="3"/>
      <c r="I53" s="3"/>
      <c r="J53" s="1"/>
      <c r="K53" s="1"/>
      <c r="L53" s="1"/>
      <c r="M53" s="1"/>
      <c r="N53" s="3"/>
      <c r="O53" s="4"/>
      <c r="P53" s="1"/>
    </row>
    <row r="54" spans="2:16" s="11" customFormat="1" ht="73.5" customHeight="1">
      <c r="B54" s="1"/>
      <c r="C54" s="2"/>
      <c r="D54" s="1"/>
      <c r="E54" s="1"/>
      <c r="F54" s="1"/>
      <c r="G54" s="3"/>
      <c r="H54" s="3"/>
      <c r="I54" s="3"/>
      <c r="J54" s="1"/>
      <c r="K54" s="1"/>
      <c r="L54" s="1"/>
      <c r="M54" s="1"/>
      <c r="N54" s="3"/>
      <c r="O54" s="4"/>
      <c r="P54" s="1"/>
    </row>
    <row r="55" spans="2:16" s="11" customFormat="1" ht="73.5" customHeight="1">
      <c r="B55" s="1"/>
      <c r="C55" s="2"/>
      <c r="D55" s="1"/>
      <c r="E55" s="1"/>
      <c r="F55" s="1"/>
      <c r="G55" s="3"/>
      <c r="H55" s="3"/>
      <c r="I55" s="3"/>
      <c r="J55" s="1"/>
      <c r="K55" s="1"/>
      <c r="L55" s="1"/>
      <c r="M55" s="1"/>
      <c r="N55" s="3"/>
      <c r="O55" s="4"/>
      <c r="P55" s="1"/>
    </row>
    <row r="56" spans="2:16" s="11" customFormat="1" ht="73.5" customHeight="1">
      <c r="B56" s="1"/>
      <c r="C56" s="2"/>
      <c r="D56" s="1"/>
      <c r="E56" s="1"/>
      <c r="F56" s="1"/>
      <c r="G56" s="3"/>
      <c r="H56" s="3"/>
      <c r="I56" s="3"/>
      <c r="J56" s="1"/>
      <c r="K56" s="1"/>
      <c r="L56" s="1"/>
      <c r="M56" s="1"/>
      <c r="N56" s="3"/>
      <c r="O56" s="4"/>
      <c r="P56" s="1"/>
    </row>
    <row r="57" spans="2:16" s="11" customFormat="1" ht="73.5" customHeight="1">
      <c r="B57" s="1"/>
      <c r="C57" s="2"/>
      <c r="D57" s="1"/>
      <c r="E57" s="1"/>
      <c r="F57" s="1"/>
      <c r="G57" s="3"/>
      <c r="H57" s="3"/>
      <c r="I57" s="3"/>
      <c r="J57" s="1"/>
      <c r="K57" s="1"/>
      <c r="L57" s="1"/>
      <c r="M57" s="1"/>
      <c r="N57" s="3"/>
      <c r="O57" s="4"/>
      <c r="P57" s="1"/>
    </row>
    <row r="58" spans="2:16" s="11" customFormat="1" ht="73.5" customHeight="1">
      <c r="B58" s="1"/>
      <c r="C58" s="2"/>
      <c r="D58" s="1"/>
      <c r="E58" s="1"/>
      <c r="F58" s="1"/>
      <c r="G58" s="3"/>
      <c r="H58" s="3"/>
      <c r="I58" s="3"/>
      <c r="J58" s="1"/>
      <c r="K58" s="1"/>
      <c r="L58" s="1"/>
      <c r="M58" s="1"/>
      <c r="N58" s="3"/>
      <c r="O58" s="4"/>
      <c r="P58" s="1"/>
    </row>
    <row r="59" spans="2:16" s="11" customFormat="1" ht="73.5" customHeight="1">
      <c r="B59" s="1"/>
      <c r="C59" s="2"/>
      <c r="D59" s="1"/>
      <c r="E59" s="1"/>
      <c r="F59" s="1"/>
      <c r="G59" s="3"/>
      <c r="H59" s="3"/>
      <c r="I59" s="3"/>
      <c r="J59" s="1"/>
      <c r="K59" s="1"/>
      <c r="L59" s="1"/>
      <c r="M59" s="1"/>
      <c r="N59" s="3"/>
      <c r="O59" s="4"/>
      <c r="P59" s="1"/>
    </row>
    <row r="60" spans="2:16" s="11" customFormat="1" ht="73.5" customHeight="1">
      <c r="B60" s="1"/>
      <c r="C60" s="2"/>
      <c r="D60" s="1"/>
      <c r="E60" s="1"/>
      <c r="F60" s="1"/>
      <c r="G60" s="3"/>
      <c r="H60" s="3"/>
      <c r="I60" s="3"/>
      <c r="J60" s="1"/>
      <c r="K60" s="1"/>
      <c r="L60" s="1"/>
      <c r="M60" s="1"/>
      <c r="N60" s="3"/>
      <c r="O60" s="4"/>
      <c r="P60" s="1"/>
    </row>
    <row r="61" spans="2:16" s="11" customFormat="1" ht="73.5" customHeight="1">
      <c r="B61" s="1"/>
      <c r="C61" s="2"/>
      <c r="D61" s="1"/>
      <c r="E61" s="1"/>
      <c r="F61" s="1"/>
      <c r="G61" s="3"/>
      <c r="H61" s="3"/>
      <c r="I61" s="3"/>
      <c r="J61" s="1"/>
      <c r="K61" s="1"/>
      <c r="L61" s="1"/>
      <c r="M61" s="1"/>
      <c r="N61" s="3"/>
      <c r="O61" s="4"/>
      <c r="P61" s="1"/>
    </row>
    <row r="62" spans="2:16" s="11" customFormat="1" ht="73.5" customHeight="1">
      <c r="B62" s="1"/>
      <c r="C62" s="2"/>
      <c r="D62" s="1"/>
      <c r="E62" s="1"/>
      <c r="F62" s="1"/>
      <c r="G62" s="3"/>
      <c r="H62" s="3"/>
      <c r="I62" s="3"/>
      <c r="J62" s="1"/>
      <c r="K62" s="1"/>
      <c r="L62" s="1"/>
      <c r="M62" s="1"/>
      <c r="N62" s="3"/>
      <c r="O62" s="4"/>
      <c r="P62" s="1"/>
    </row>
    <row r="63" spans="2:16" s="11" customFormat="1" ht="73.5" customHeight="1">
      <c r="B63" s="1"/>
      <c r="C63" s="2"/>
      <c r="D63" s="1"/>
      <c r="E63" s="1"/>
      <c r="F63" s="1"/>
      <c r="G63" s="3"/>
      <c r="H63" s="3"/>
      <c r="I63" s="3"/>
      <c r="J63" s="1"/>
      <c r="K63" s="1"/>
      <c r="L63" s="1"/>
      <c r="M63" s="1"/>
      <c r="N63" s="3"/>
      <c r="O63" s="4"/>
      <c r="P63" s="1"/>
    </row>
    <row r="64" spans="2:16" s="11" customFormat="1" ht="73.5" customHeight="1">
      <c r="B64" s="1"/>
      <c r="C64" s="2"/>
      <c r="D64" s="1"/>
      <c r="E64" s="1"/>
      <c r="F64" s="1"/>
      <c r="G64" s="3"/>
      <c r="H64" s="3"/>
      <c r="I64" s="3"/>
      <c r="J64" s="1"/>
      <c r="K64" s="1"/>
      <c r="L64" s="1"/>
      <c r="M64" s="1"/>
      <c r="N64" s="3"/>
      <c r="O64" s="4"/>
      <c r="P64" s="1"/>
    </row>
    <row r="65" spans="2:16" s="11" customFormat="1" ht="73.5" customHeight="1">
      <c r="B65" s="1"/>
      <c r="C65" s="2"/>
      <c r="D65" s="1"/>
      <c r="E65" s="1"/>
      <c r="F65" s="1"/>
      <c r="G65" s="3"/>
      <c r="H65" s="3"/>
      <c r="I65" s="3"/>
      <c r="J65" s="1"/>
      <c r="K65" s="1"/>
      <c r="L65" s="1"/>
      <c r="M65" s="1"/>
      <c r="N65" s="3"/>
      <c r="O65" s="4"/>
      <c r="P65" s="1"/>
    </row>
    <row r="66" spans="2:16" s="11" customFormat="1" ht="73.5" customHeight="1">
      <c r="B66" s="1"/>
      <c r="C66" s="2"/>
      <c r="D66" s="1"/>
      <c r="E66" s="1"/>
      <c r="F66" s="1"/>
      <c r="G66" s="3"/>
      <c r="H66" s="3"/>
      <c r="I66" s="3"/>
      <c r="J66" s="1"/>
      <c r="K66" s="1"/>
      <c r="L66" s="1"/>
      <c r="M66" s="1"/>
      <c r="N66" s="3"/>
      <c r="O66" s="4"/>
      <c r="P66" s="1"/>
    </row>
    <row r="67" spans="2:16" s="11" customFormat="1" ht="73.5" customHeight="1">
      <c r="B67" s="1"/>
      <c r="C67" s="2"/>
      <c r="D67" s="1"/>
      <c r="E67" s="1"/>
      <c r="F67" s="1"/>
      <c r="G67" s="3"/>
      <c r="H67" s="3"/>
      <c r="I67" s="3"/>
      <c r="J67" s="1"/>
      <c r="K67" s="1"/>
      <c r="L67" s="1"/>
      <c r="M67" s="1"/>
      <c r="N67" s="3"/>
      <c r="O67" s="4"/>
      <c r="P67" s="1"/>
    </row>
    <row r="68" spans="2:16" s="11" customFormat="1" ht="73.5" customHeight="1">
      <c r="B68" s="1"/>
      <c r="C68" s="2"/>
      <c r="D68" s="1"/>
      <c r="E68" s="1"/>
      <c r="F68" s="1"/>
      <c r="G68" s="3"/>
      <c r="H68" s="3"/>
      <c r="I68" s="3"/>
      <c r="J68" s="1"/>
      <c r="K68" s="1"/>
      <c r="L68" s="1"/>
      <c r="M68" s="1"/>
      <c r="N68" s="3"/>
      <c r="O68" s="4"/>
      <c r="P68" s="1"/>
    </row>
    <row r="69" spans="2:16" s="11" customFormat="1" ht="73.5" customHeight="1">
      <c r="B69" s="1"/>
      <c r="C69" s="2"/>
      <c r="D69" s="1"/>
      <c r="E69" s="1"/>
      <c r="F69" s="1"/>
      <c r="G69" s="3"/>
      <c r="H69" s="3"/>
      <c r="I69" s="3"/>
      <c r="J69" s="1"/>
      <c r="K69" s="1"/>
      <c r="L69" s="1"/>
      <c r="M69" s="1"/>
      <c r="N69" s="3"/>
      <c r="O69" s="4"/>
      <c r="P69" s="1"/>
    </row>
    <row r="70" spans="2:16" s="11" customFormat="1" ht="73.5" customHeight="1">
      <c r="B70" s="1"/>
      <c r="C70" s="2"/>
      <c r="D70" s="1"/>
      <c r="E70" s="1"/>
      <c r="F70" s="1"/>
      <c r="G70" s="3"/>
      <c r="H70" s="3"/>
      <c r="I70" s="3"/>
      <c r="J70" s="1"/>
      <c r="K70" s="1"/>
      <c r="L70" s="1"/>
      <c r="M70" s="1"/>
      <c r="N70" s="3"/>
      <c r="O70" s="4"/>
      <c r="P70" s="1"/>
    </row>
    <row r="71" spans="2:16" s="11" customFormat="1" ht="73.5" customHeight="1">
      <c r="B71" s="1"/>
      <c r="C71" s="2"/>
      <c r="D71" s="1"/>
      <c r="E71" s="1"/>
      <c r="F71" s="1"/>
      <c r="G71" s="3"/>
      <c r="H71" s="3"/>
      <c r="I71" s="3"/>
      <c r="J71" s="1"/>
      <c r="K71" s="1"/>
      <c r="L71" s="1"/>
      <c r="M71" s="1"/>
      <c r="N71" s="3"/>
      <c r="O71" s="4"/>
      <c r="P71" s="1"/>
    </row>
    <row r="75" spans="2:16" ht="20.25" customHeight="1"/>
    <row r="76" spans="2:16" ht="20.25" customHeight="1"/>
    <row r="77" spans="2:16" ht="20.25" customHeight="1"/>
    <row r="78" spans="2:16" ht="32.25" customHeight="1"/>
  </sheetData>
  <mergeCells count="13">
    <mergeCell ref="D16:I16"/>
    <mergeCell ref="B1:P1"/>
    <mergeCell ref="B3:P3"/>
    <mergeCell ref="B5:B6"/>
    <mergeCell ref="C5:C6"/>
    <mergeCell ref="D5:D6"/>
    <mergeCell ref="F5:F6"/>
    <mergeCell ref="B2:P2"/>
    <mergeCell ref="G5:I5"/>
    <mergeCell ref="J5:L5"/>
    <mergeCell ref="M5:P5"/>
    <mergeCell ref="B13:O13"/>
    <mergeCell ref="E5:E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7" orientation="landscape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Котировки</vt:lpstr>
      <vt:lpstr>Котировки!Область_печати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plan3</dc:creator>
  <cp:lastModifiedBy>agapovaai</cp:lastModifiedBy>
  <cp:lastPrinted>2026-03-19T12:07:17Z</cp:lastPrinted>
  <dcterms:created xsi:type="dcterms:W3CDTF">2014-02-04T09:40:03Z</dcterms:created>
  <dcterms:modified xsi:type="dcterms:W3CDTF">2026-05-04T13:36:40Z</dcterms:modified>
</cp:coreProperties>
</file>